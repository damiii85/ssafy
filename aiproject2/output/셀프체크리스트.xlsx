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크리스트" sheetId="1" state="visible" r:id="rId3"/>
    <sheet name="작성 안내" sheetId="2" state="visible" r:id="rId4"/>
  </sheets>
  <definedNames>
    <definedName function="false" hidden="false" localSheetId="0" name="_xlnm.Print_Area" vbProcedure="false">체크리스트!$B$2:$I$46</definedName>
    <definedName function="false" hidden="false" localSheetId="0" name="_xlnm.Print_Titles" vbProcedure="false">체크리스트!$8:$8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<sst xmlns="http://schemas.openxmlformats.org/spreadsheetml/2006/main" count="158" uniqueCount="133">
  <si>
    <r>
      <rPr>
        <b val="true"/>
        <sz val="14"/>
        <rFont val="맑은 고딕"/>
        <family val="3"/>
        <charset val="129"/>
      </rPr>
      <t xml:space="preserve">[SSAFY] AI </t>
    </r>
    <r>
      <rPr>
        <b val="true"/>
        <sz val="14"/>
        <rFont val="Noto Sans CJK SC"/>
        <family val="2"/>
      </rPr>
      <t xml:space="preserve">코어 프로젝트 </t>
    </r>
    <r>
      <rPr>
        <b val="true"/>
        <sz val="14"/>
        <rFont val="맑은 고딕"/>
        <family val="3"/>
        <charset val="129"/>
      </rPr>
      <t xml:space="preserve">2</t>
    </r>
    <r>
      <rPr>
        <b val="true"/>
        <sz val="14"/>
        <rFont val="Noto Sans CJK SC"/>
        <family val="2"/>
      </rPr>
      <t xml:space="preserve">회차 — 셀프 </t>
    </r>
    <r>
      <rPr>
        <b val="true"/>
        <sz val="14"/>
        <rFont val="맑은 고딕"/>
        <family val="3"/>
        <charset val="129"/>
      </rPr>
      <t xml:space="preserve">· </t>
    </r>
    <r>
      <rPr>
        <b val="true"/>
        <sz val="14"/>
        <rFont val="Noto Sans CJK SC"/>
        <family val="2"/>
      </rPr>
      <t xml:space="preserve">상호 체크리스트</t>
    </r>
  </si>
  <si>
    <t xml:space="preserve">점검 유형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</si>
  <si>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통과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증명이 필요한 항목은 증빙 첨부</t>
    </r>
    <r>
      <rPr>
        <sz val="10"/>
        <rFont val="맑은 고딕"/>
        <family val="3"/>
        <charset val="129"/>
      </rPr>
      <t xml:space="preserve">)
· 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해당없음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선택하지 않은 심화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해당하지 않는 도메인 항목
※ 확인하지 않은 것을 통과로 적지 않습니다</t>
    </r>
    <r>
      <rPr>
        <sz val="10"/>
        <rFont val="맑은 고딕"/>
        <family val="3"/>
        <charset val="129"/>
      </rPr>
      <t xml:space="preserve">.</t>
    </r>
  </si>
  <si>
    <t xml:space="preserve">앱 작성자</t>
  </si>
  <si>
    <t xml:space="preserve">점검자</t>
  </si>
  <si>
    <t xml:space="preserve">점검 일시</t>
  </si>
  <si>
    <r>
      <rPr>
        <sz val="9"/>
        <color rgb="FF595959"/>
        <rFont val="Noto Sans CJK SC"/>
        <family val="2"/>
      </rPr>
      <t xml:space="preserve">연한 노란 칸만 입력합니다</t>
    </r>
    <r>
      <rPr>
        <sz val="9"/>
        <color rgb="FF595959"/>
        <rFont val="맑은 고딕"/>
        <family val="0"/>
        <charset val="1"/>
      </rPr>
      <t xml:space="preserve">.  </t>
    </r>
    <r>
      <rPr>
        <sz val="9"/>
        <color rgb="FF595959"/>
        <rFont val="Noto Sans CJK SC"/>
        <family val="2"/>
      </rPr>
      <t xml:space="preserve">결과</t>
    </r>
    <r>
      <rPr>
        <sz val="9"/>
        <color rgb="FF595959"/>
        <rFont val="맑은 고딕"/>
        <family val="0"/>
        <charset val="1"/>
      </rPr>
      <t xml:space="preserve">(G</t>
    </r>
    <r>
      <rPr>
        <sz val="9"/>
        <color rgb="FF595959"/>
        <rFont val="Noto Sans CJK SC"/>
        <family val="2"/>
      </rPr>
      <t xml:space="preserve">열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해당없음</t>
    </r>
  </si>
  <si>
    <t xml:space="preserve">영역</t>
  </si>
  <si>
    <t xml:space="preserve">번호</t>
  </si>
  <si>
    <t xml:space="preserve">요구사항</t>
  </si>
  <si>
    <t xml:space="preserve">확인 항목</t>
  </si>
  <si>
    <t xml:space="preserve">확인 방법</t>
  </si>
  <si>
    <t xml:space="preserve">결과</t>
  </si>
  <si>
    <r>
      <rPr>
        <b val="true"/>
        <sz val="11"/>
        <rFont val="Noto Sans CJK SC"/>
        <family val="2"/>
      </rPr>
      <t xml:space="preserve">증빙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캡처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파일명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</si>
  <si>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비고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실패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미확인 사유</t>
    </r>
    <r>
      <rPr>
        <b val="true"/>
        <sz val="11"/>
        <rFont val="맑은 고딕"/>
        <family val="3"/>
        <charset val="129"/>
      </rPr>
      <t xml:space="preserve">)</t>
    </r>
  </si>
  <si>
    <t xml:space="preserve">데이터와 색인</t>
  </si>
  <si>
    <t xml:space="preserve">F2001</t>
  </si>
  <si>
    <r>
      <rPr>
        <sz val="10"/>
        <rFont val="Noto Sans CJK SC"/>
        <family val="2"/>
      </rPr>
      <t xml:space="preserve">로드한 항목 수와 색인된 청크 수가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텍스트에 의도한 속성이 모두 들어 있다</t>
    </r>
  </si>
  <si>
    <r>
      <rPr>
        <sz val="10"/>
        <rFont val="Noto Sans CJK SC"/>
        <family val="2"/>
      </rPr>
      <t xml:space="preserve">로드 건수와 컬렉션 건수를 출력해 비교하고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 확인</t>
    </r>
  </si>
  <si>
    <t xml:space="preserve">F2002</t>
  </si>
  <si>
    <t xml:space="preserve">색인 작업을 두 번 실행해도 청크 수가 늘지 않는다</t>
  </si>
  <si>
    <t xml:space="preserve">스크립트를 두 번 실행하고 전후 청크 수 비교</t>
  </si>
  <si>
    <t xml:space="preserve">문서 수집과 색인</t>
  </si>
  <si>
    <t xml:space="preserve">F2003 · F2004</t>
  </si>
  <si>
    <r>
      <rPr>
        <sz val="10"/>
        <rFont val="Noto Sans CJK SC"/>
        <family val="2"/>
      </rPr>
      <t xml:space="preserve">검색어 추출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1)</t>
    </r>
    <r>
      <rPr>
        <sz val="10"/>
        <rFont val="Noto Sans CJK SC"/>
        <family val="2"/>
      </rPr>
      <t xml:space="preserve">이 뽑은 검색어 목록이 확인되고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후보 선별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2)</t>
    </r>
    <r>
      <rPr>
        <sz val="10"/>
        <rFont val="Noto Sans CJK SC"/>
        <family val="2"/>
      </rPr>
      <t xml:space="preserve"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</si>
  <si>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개를 실행하고 검색어 목록과 선별 결과를 나란히 출력</t>
    </r>
  </si>
  <si>
    <t xml:space="preserve">F2004 · NF2002</t>
  </si>
  <si>
    <t xml:space="preserve">같은 질문을 다시 물었을 때 수집이 다시 일어나지 않는다</t>
  </si>
  <si>
    <t xml:space="preserve">같은 질문을 두 번 실행해 수집 로그와 처리 시간 비교</t>
  </si>
  <si>
    <t xml:space="preserve">F2005</t>
  </si>
  <si>
    <t xml:space="preserve">청크 크기 또는 중복 길이를 설정에서 바꿔 색인하면 청크 수가 달라진다</t>
  </si>
  <si>
    <t xml:space="preserve">설정값을 바꿔 재색인하고 청크 수 비교</t>
  </si>
  <si>
    <t xml:space="preserve">답변과 근거</t>
  </si>
  <si>
    <t xml:space="preserve">F2006</t>
  </si>
  <si>
    <r>
      <rPr>
        <sz val="10"/>
        <rFont val="Noto Sans CJK SC"/>
        <family val="2"/>
      </rPr>
      <t xml:space="preserve">검색할 근거 수</t>
    </r>
    <r>
      <rPr>
        <sz val="10"/>
        <rFont val="맑은 고딕"/>
        <family val="3"/>
        <charset val="129"/>
      </rPr>
      <t xml:space="preserve">(Top-k)</t>
    </r>
    <r>
      <rPr>
        <sz val="10"/>
        <rFont val="Noto Sans CJK SC"/>
        <family val="2"/>
      </rPr>
      <t xml:space="preserve">를 설정에서 바꾸면 같은 질문의 근거 목록이 달라진다</t>
    </r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</si>
  <si>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 xml:space="preserve">값을 바꿔 같은 질문을 실행하고 근거 목록 비교</t>
    </r>
  </si>
  <si>
    <t xml:space="preserve">F2007</t>
  </si>
  <si>
    <r>
      <rPr>
        <sz val="10"/>
        <rFont val="맑은 고딕"/>
        <family val="3"/>
        <charset val="129"/>
      </rPr>
      <t xml:space="preserve"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 xml:space="preserve">두 노드로 구성되어 있다</t>
    </r>
  </si>
  <si>
    <t xml:space="preserve">그래프 구조 출력 또는 코드 캡처</t>
  </si>
  <si>
    <t xml:space="preserve">F2008</t>
  </si>
  <si>
    <r>
      <rPr>
        <sz val="10"/>
        <rFont val="Noto Sans CJK SC"/>
        <family val="2"/>
      </rPr>
      <t xml:space="preserve">답변 본문의 근거 번호와 화면의 근거 목록이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메타데이터와 외부 문서가 구분되어 표시된다</t>
    </r>
  </si>
  <si>
    <t xml:space="preserve">답변을 생성해 번호와 목록을 대조</t>
  </si>
  <si>
    <t xml:space="preserve">F2007 · F2008</t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</si>
  <si>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</si>
  <si>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t xml:space="preserve">색인에 없는 내용을 질문해 답변과 안내 확인</t>
  </si>
  <si>
    <t xml:space="preserve">서비스 기능과 화면</t>
  </si>
  <si>
    <t xml:space="preserve">F2009</t>
  </si>
  <si>
    <t xml:space="preserve"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</si>
  <si>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  <charset val="129"/>
      </rPr>
      <t xml:space="preserve">B</t>
    </r>
    <r>
      <rPr>
        <sz val="10"/>
        <rFont val="Noto Sans CJK SC"/>
        <family val="2"/>
      </rPr>
      <t xml:space="preserve">로 바꿔 질문</t>
    </r>
  </si>
  <si>
    <t xml:space="preserve">F2011</t>
  </si>
  <si>
    <t xml:space="preserve">조건 기반 탐색 결과에 조건과 맞지 않는 항목이 섞이지 않는다</t>
  </si>
  <si>
    <t xml:space="preserve">조건을 입력해 결과 항목을 하나씩 대조</t>
  </si>
  <si>
    <t xml:space="preserve">F2010</t>
  </si>
  <si>
    <t xml:space="preserve">도메인 특화 기능의 결과에도 근거가 함께 제시된다</t>
  </si>
  <si>
    <t xml:space="preserve">특화 기능을 실행해 근거 표시 확인</t>
  </si>
  <si>
    <t xml:space="preserve">F2012</t>
  </si>
  <si>
    <r>
      <rPr>
        <sz val="10"/>
        <rFont val="Noto Sans CJK SC"/>
        <family val="2"/>
      </rPr>
      <t xml:space="preserve">처리 중 진행 상태가 표시되고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없을 때 각각 안내가 표시된다</t>
    </r>
  </si>
  <si>
    <r>
      <rPr>
        <sz val="10"/>
        <rFont val="Noto Sans CJK SC"/>
        <family val="2"/>
      </rPr>
      <t xml:space="preserve">첫 질문 실행 중 화면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 삭제 후 실행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키를 비우고 실행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</si>
  <si>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금융처럼 판단이 위험한 도메인이면 전문가 조언을 대신하지 않는다는 안내가 표시된다</t>
    </r>
  </si>
  <si>
    <t xml:space="preserve">답변 화면에서 면책 안내 확인</t>
  </si>
  <si>
    <r>
      <rPr>
        <b val="true"/>
        <sz val="11"/>
        <rFont val="Noto Sans CJK SC"/>
        <family val="2"/>
      </rPr>
      <t xml:space="preserve">심화 기능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선택한 것만</t>
    </r>
    <r>
      <rPr>
        <b val="true"/>
        <sz val="11"/>
        <rFont val="맑은 고딕"/>
        <family val="3"/>
        <charset val="129"/>
      </rPr>
      <t xml:space="preserve">)</t>
    </r>
  </si>
  <si>
    <t xml:space="preserve"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</si>
  <si>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  <charset val="129"/>
      </rPr>
      <t xml:space="preserve"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</si>
  <si>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표시 확인</t>
    </r>
  </si>
  <si>
    <t xml:space="preserve"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</si>
  <si>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</si>
  <si>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t xml:space="preserve">두 검색 방식의 근거 목록을 나란히 비교</t>
  </si>
  <si>
    <t xml:space="preserve"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</si>
  <si>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  <charset val="129"/>
      </rPr>
      <t xml:space="preserve">5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근거 없이 답하면 틀리기 쉬운 질문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근거를 붙여 각각 답하게 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모르는 것을 모른다고 답하는지를 비교해 기록했다</t>
    </r>
  </si>
  <si>
    <t xml:space="preserve">비교 기록 확인</t>
  </si>
  <si>
    <t xml:space="preserve">비교 결과를 문서로 작성해 제출물에 포함했다</t>
  </si>
  <si>
    <t xml:space="preserve">제출물 폴더 확인</t>
  </si>
  <si>
    <t xml:space="preserve">F2016</t>
  </si>
  <si>
    <t xml:space="preserve">근거 목록에 출처의 종류가 구분되어 표시된다</t>
  </si>
  <si>
    <t xml:space="preserve">근거 목록 화면 확인</t>
  </si>
  <si>
    <t xml:space="preserve">비기능 요구사항</t>
  </si>
  <si>
    <t xml:space="preserve">NF2001</t>
  </si>
  <si>
    <t xml:space="preserve">대표 질문의 전체 처리 시간이 사용에 지장이 없다</t>
  </si>
  <si>
    <t xml:space="preserve">첫 질문과 두 번째 질문의 처리 시간을 나눠 측정</t>
  </si>
  <si>
    <t xml:space="preserve"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</si>
  <si>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남아 있지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오류 추적 정보가 노출되지 않는다</t>
    </r>
  </si>
  <si>
    <r>
      <rPr>
        <sz val="10"/>
        <rFont val="Noto Sans CJK SC"/>
        <family val="2"/>
      </rPr>
      <t xml:space="preserve">저장소 전체에서 키 문자열 검색</t>
    </r>
    <r>
      <rPr>
        <sz val="10"/>
        <rFont val="맑은 고딕"/>
        <family val="3"/>
        <charset val="129"/>
      </rPr>
      <t xml:space="preserve">(.env </t>
    </r>
    <r>
      <rPr>
        <sz val="10"/>
        <rFont val="Noto Sans CJK SC"/>
        <family val="2"/>
      </rPr>
      <t xml:space="preserve">제외 여부 확인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오류 상황을 일부러 만들어 화면 확인</t>
    </r>
  </si>
  <si>
    <t xml:space="preserve"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</si>
  <si>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  <charset val="129"/>
      </rPr>
      <t xml:space="preserve">· UI</t>
    </r>
    <r>
      <rPr>
        <sz val="10"/>
        <rFont val="Noto Sans CJK SC"/>
        <family val="2"/>
      </rPr>
      <t xml:space="preserve">가 모듈로 분리되어 있다</t>
    </r>
  </si>
  <si>
    <t xml:space="preserve">파일 구성 확인</t>
  </si>
  <si>
    <t xml:space="preserve"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</si>
  <si>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호출 간격과 출처가 요구하는 식별 정보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  <charset val="129"/>
      </rPr>
      <t xml:space="preserve">User-Agent </t>
    </r>
    <r>
      <rPr>
        <sz val="10"/>
        <rFont val="Noto Sans CJK SC"/>
        <family val="2"/>
      </rPr>
      <t xml:space="preserve">연락처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</si>
  <si>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헤더 확인</t>
    </r>
  </si>
  <si>
    <t xml:space="preserve"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</si>
  <si>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이용 조건을 기록했다</t>
    </r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</si>
  <si>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 xml:space="preserve">확인</t>
    </r>
  </si>
  <si>
    <t xml:space="preserve">제출 전 점검</t>
  </si>
  <si>
    <t xml:space="preserve"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</si>
  <si>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  <charset val="129"/>
      </rPr>
      <t xml:space="preserve">F2001 ~ F2012</t>
    </r>
    <r>
      <rPr>
        <sz val="10"/>
        <rFont val="Noto Sans CJK SC"/>
        <family val="2"/>
      </rPr>
      <t xml:space="preserve">가 모두 동작하고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선택한 심화 기능은 필수 기능의 결과와 비교되어 있다</t>
    </r>
  </si>
  <si>
    <r>
      <rPr>
        <sz val="10"/>
        <rFont val="Noto Sans CJK SC"/>
        <family val="2"/>
      </rPr>
      <t xml:space="preserve">위 항목의 결과 종합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비교 기록 확인</t>
    </r>
  </si>
  <si>
    <t xml:space="preserve">증명을 위한 스크린샷 항목을 모두 첨부했다</t>
  </si>
  <si>
    <t xml:space="preserve">증빙 칸과 첨부 파일 대조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</si>
  <si>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  <charset val="129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  <charset val="129"/>
      </rPr>
      <t xml:space="preserve">· README.md · </t>
    </r>
    <r>
      <rPr>
        <sz val="10"/>
        <rFont val="Noto Sans CJK SC"/>
        <family val="2"/>
      </rPr>
      <t xml:space="preserve">검증 결과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요구사항 대조표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테스트 결과표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상호 체크리스트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모두 포함했다</t>
    </r>
  </si>
  <si>
    <t xml:space="preserve">집계</t>
  </si>
  <si>
    <t xml:space="preserve">통과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</si>
  <si>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「미기입」이 남아 있으면 비고에 사유가 적혀 있는지 확인합니다</t>
    </r>
    <r>
      <rPr>
        <sz val="10"/>
        <rFont val="맑은 고딕"/>
        <family val="3"/>
        <charset val="129"/>
      </rPr>
      <t xml:space="preserve">.</t>
    </r>
  </si>
  <si>
    <t xml:space="preserve">실패</t>
  </si>
  <si>
    <t xml:space="preserve">미확인</t>
  </si>
  <si>
    <t xml:space="preserve">해당없음</t>
  </si>
  <si>
    <t xml:space="preserve">미기입</t>
  </si>
  <si>
    <t xml:space="preserve">전체 항목</t>
  </si>
  <si>
    <r>
      <rPr>
        <b val="true"/>
        <sz val="11"/>
        <rFont val="Noto Sans CJK SC"/>
        <family val="2"/>
      </rPr>
      <t xml:space="preserve">상호 점검 피드백 — 상호 점검 때만 작성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짧게 한두 문장</t>
    </r>
    <r>
      <rPr>
        <b val="true"/>
        <sz val="11"/>
        <rFont val="맑은 고딕"/>
        <family val="0"/>
        <charset val="1"/>
      </rPr>
      <t xml:space="preserve">)</t>
    </r>
  </si>
  <si>
    <t xml:space="preserve">잘한 것 하나</t>
  </si>
  <si>
    <t xml:space="preserve">개선할 것 하나</t>
  </si>
  <si>
    <r>
      <rPr>
        <b val="true"/>
        <sz val="14"/>
        <color rgb="FF000000"/>
        <rFont val="Noto Sans CJK SC"/>
        <family val="2"/>
      </rPr>
      <t xml:space="preserve">셀프 </t>
    </r>
    <r>
      <rPr>
        <b val="true"/>
        <sz val="14"/>
        <color rgb="FF000000"/>
        <rFont val="맑은 고딕"/>
        <family val="0"/>
        <charset val="1"/>
      </rPr>
      <t xml:space="preserve">· </t>
    </r>
    <r>
      <rPr>
        <b val="true"/>
        <sz val="14"/>
        <color rgb="FF000000"/>
        <rFont val="Noto Sans CJK SC"/>
        <family val="2"/>
      </rPr>
      <t xml:space="preserve">상호 체크리스트 작성 안내</t>
    </r>
  </si>
  <si>
    <t xml:space="preserve"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</si>
  <si>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15:30 ~ 16:30 · </t>
    </r>
    <r>
      <rPr>
        <sz val="10"/>
        <color rgb="FF000000"/>
        <rFont val="Noto Sans CJK SC"/>
        <family val="2"/>
      </rPr>
      <t xml:space="preserve">내 앱을 직접 실행하며 항목을 하나씩 확인합니다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16:30 ~ 17:30 · </t>
    </r>
    <r>
      <rPr>
        <sz val="10"/>
        <color rgb="FF000000"/>
        <rFont val="Noto Sans CJK SC"/>
        <family val="2"/>
      </rPr>
      <t xml:space="preserve">셀프 때와 같은 양식으로 옆 교육생의 앱을 점검하고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점검자 칸에 이름을 적어 주고받습니다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</si>
  <si>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무엇을 적나</t>
  </si>
  <si>
    <r>
      <rPr>
        <sz val="10"/>
        <color rgb="FF000000"/>
        <rFont val="Noto Sans CJK SC"/>
        <family val="2"/>
      </rPr>
      <t xml:space="preserve">점검 유형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상호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 일시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비고를 적습니다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연한 노란 칸만 입력합니다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확인 항목과 확인 방법은 고치지 않습니다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</si>
  <si>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증명이 필요한 항목은 증빙 첨부</t>
    </r>
    <r>
      <rPr>
        <sz val="10"/>
        <color rgb="FF000000"/>
        <rFont val="맑은 고딕"/>
        <family val="0"/>
        <charset val="1"/>
      </rPr>
      <t xml:space="preserve">)
</t>
    </r>
    <r>
      <rPr>
        <sz val="10"/>
        <color rgb="FF000000"/>
        <rFont val="Noto Sans CJK SC"/>
        <family val="2"/>
      </rPr>
      <t xml:space="preserve"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해당하지 않는 도메인 항목</t>
    </r>
  </si>
  <si>
    <t xml:space="preserve">증빙</t>
  </si>
  <si>
    <r>
      <rPr>
        <sz val="10"/>
        <color rgb="FF000000"/>
        <rFont val="Noto Sans CJK SC"/>
        <family val="2"/>
      </rPr>
      <t xml:space="preserve">화면 캡처의 파일명을 적고 제출물에 함께 넣습니다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번호를 앞에 붙이면 찾기 쉽습니다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04_</t>
    </r>
    <r>
      <rPr>
        <sz val="10"/>
        <color rgb="FF000000"/>
        <rFont val="Noto Sans CJK SC"/>
        <family val="2"/>
      </rPr>
      <t xml:space="preserve">재질문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수집로그</t>
    </r>
    <r>
      <rPr>
        <sz val="10"/>
        <color rgb="FF000000"/>
        <rFont val="맑은 고딕"/>
        <family val="0"/>
        <charset val="1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키와 오류 상세 내용이 보이지 않게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</si>
  <si>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체크리스트 아래 집계 칸이 결과를 자동으로 셉니다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「미기입」이 남아 있으면 비고에 사유가 적혀 있는지 확인합니다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</si>
  <si>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상호 피드백</t>
  </si>
  <si>
    <r>
      <rPr>
        <sz val="10"/>
        <color rgb="FF000000"/>
        <rFont val="Noto Sans CJK SC"/>
        <family val="2"/>
      </rPr>
      <t xml:space="preserve">상호 점검 때는 맨 아래에 잘한 것 하나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개선할 것 하나를 짧게 적어 돌려줍니다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지적받은 결함 중 고칠 수 있는 것만 고치고 최종 제출합니다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새 기능은 넣지 않습니다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</si>
  <si>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가장 중요한 규칙</t>
  </si>
  <si>
    <r>
      <rPr>
        <b val="true"/>
        <sz val="10"/>
        <color rgb="FFC00000"/>
        <rFont val="Noto Sans CJK SC"/>
        <family val="2"/>
      </rPr>
      <t xml:space="preserve">확인하지 않은 것을 통과로 적지 않습니다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</si>
  <si>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작성 예시 — 모양만 보여 주는 예입니다</t>
    </r>
    <r>
      <rPr>
        <b val="true"/>
        <sz val="10"/>
        <color rgb="FF000000"/>
        <rFont val="맑은 고딕"/>
        <family val="0"/>
        <charset val="1"/>
      </rPr>
      <t xml:space="preserve">. </t>
    </r>
    <r>
      <rPr>
        <b val="true"/>
        <sz val="10"/>
        <color rgb="FF000000"/>
        <rFont val="Noto Sans CJK SC"/>
        <family val="2"/>
      </rPr>
      <t xml:space="preserve">실제 체크리스트에는 이 줄을 옮기지 않습니다</t>
    </r>
    <r>
      <rPr>
        <b val="true"/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</si>
  <si>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증빙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캡처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파일명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</si>
  <si>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비고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실패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미확인 사유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</si>
  <si>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04_</t>
    </r>
    <r>
      <rPr>
        <sz val="10"/>
        <rFont val="Noto Sans CJK SC"/>
        <family val="2"/>
      </rPr>
      <t xml:space="preserve">재질문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수집로그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</si>
  <si>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</si>
  <si>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r>
      <rPr>
        <sz val="10"/>
        <rFont val="맑은 고딕"/>
        <family val="0"/>
        <charset val="1"/>
      </rPr>
      <t xml:space="preserve">09_</t>
    </r>
    <r>
      <rPr>
        <sz val="10"/>
        <rFont val="Noto Sans CJK SC"/>
        <family val="2"/>
      </rPr>
      <t xml:space="preserve">없는내용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</si>
  <si>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문서에 없으면 답하지 않는다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</si>
  <si>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선택한 것만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</si>
  <si>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</si>
  <si>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심화 기능을 선택하지 않음</t>
    </r>
  </si>
  <si>
    <r>
      <rPr>
        <sz val="10"/>
        <rFont val="맑은 고딕"/>
        <family val="0"/>
        <charset val="1"/>
      </rPr>
      <t xml:space="preserve">GMS </t>
    </r>
    <r>
      <rPr>
        <sz val="10"/>
        <rFont val="Noto Sans CJK SC"/>
        <family val="2"/>
      </rPr>
      <t xml:space="preserve">응답 지연으로 측정 못 함 → 상호 점검 전에 다시 측정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</si>
</sst>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3"/>
      <charset val="129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name val="맑은 고딕"/>
      <family val="3"/>
      <charset val="129"/>
    </font>
    <font>
      <b val="true"/>
      <sz val="10"/>
      <name val="Noto Sans CJK SC"/>
      <family val="2"/>
    </font>
    <font>
      <b val="true"/>
      <sz val="10"/>
      <name val="맑은 고딕"/>
      <family val="3"/>
      <charset val="129"/>
    </font>
    <font>
      <b val="true"/>
      <sz val="11"/>
      <name val="맑은 고딕"/>
      <family val="0"/>
      <charset val="1"/>
    </font>
    <font>
      <sz val="10"/>
      <name val="맑은 고딕"/>
      <family val="0"/>
      <charset val="1"/>
    </font>
    <font>
      <b val="true"/>
      <sz val="14"/>
      <color rgb="FF000000"/>
      <name val="Noto Sans CJK SC"/>
      <family val="2"/>
    </font>
    <font>
      <b val="true"/>
      <sz val="14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true"/>
  </ns0:sheetPr>
  <ns0:dimension ref="B2:I46"/>
  <ns0:sheetViews>
    <ns0: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ns0:selection pane="topLeft" activeCell="A1" activeCellId="0" sqref="A1"/>
    </ns0:sheetView>
  </ns0:sheetViews>
  <ns0:sheetFormatPr defaultColWidth="8.53125" defaultRowHeight="16.5" zeroHeight="false" outlineLevelRow="0" outlineLevelCol="0"/>
  <ns0:cols>
    <ns0:col collapsed="false" customWidth="true" hidden="false" outlineLevel="0" max="1" min="1" style="0" width="3"/>
    <ns0:col collapsed="false" customWidth="true" hidden="false" outlineLevel="0" max="2" min="2" style="0" width="13"/>
    <ns0:col collapsed="false" customWidth="true" hidden="false" outlineLevel="0" max="3" min="3" style="0" width="6"/>
    <ns0:col collapsed="false" customWidth="true" hidden="false" outlineLevel="0" max="4" min="4" style="0" width="14"/>
    <ns0:col collapsed="false" customWidth="true" hidden="false" outlineLevel="0" max="5" min="5" style="0" width="50"/>
    <ns0:col collapsed="false" customWidth="true" hidden="false" outlineLevel="0" max="6" min="6" style="0" width="46"/>
    <ns0:col collapsed="false" customWidth="true" hidden="false" outlineLevel="0" max="7" min="7" style="0" width="11"/>
    <ns0:col collapsed="false" customWidth="true" hidden="false" outlineLevel="0" max="8" min="8" style="0" width="24"/>
    <ns0:col collapsed="false" customWidth="true" hidden="false" outlineLevel="0" max="9" min="9" style="0" width="30"/>
  </ns0:cols>
  <ns0:sheetData>
    <ns0:row r="2" customFormat="false" ht="39.75" hidden="false" customHeight="true" outlineLevel="0" collapsed="false">
      <ns0:c r="B2" s="1" t="s">
        <ns0:v>0</ns0:v>
      </ns0:c>
      <ns0:c r="C2" s="1"/>
      <ns0:c r="D2" s="1"/>
      <ns0:c r="E2" s="1"/>
      <ns0:c r="F2" s="1"/>
      <ns0:c r="G2" s="1"/>
      <ns0:c r="H2" s="1"/>
      <ns0:c r="I2" s="1"/>
    </ns0:row>
    <ns0:row r="3" customFormat="false" ht="24" hidden="false" customHeight="true" outlineLevel="0" collapsed="false">
      <ns0:c r="B3" s="2" t="s">
        <ns0:v>1</ns0:v>
      </ns0:c>
      <ns0:c r="C3" s="3" t="inlineStr">
        <ns0:is>
          <ns0:t xml:space="preserve">셀프 — 실행 증빙 기준</ns0:t>
        </ns0:is>
      </ns0:c>
      <ns0:c r="D3" s="3"/>
      <ns0:c r="E3" s="3"/>
      <ns0:c r="F3" s="4" t="s">
        <ns0:v>2</ns0:v>
      </ns0:c>
      <ns0:c r="G3" s="4"/>
      <ns0:c r="H3" s="4"/>
      <ns0:c r="I3" s="4"/>
    </ns0:row>
    <ns0:row r="4" customFormat="false" ht="24" hidden="false" customHeight="true" outlineLevel="0" collapsed="false">
      <ns0:c r="B4" s="2" t="s">
        <ns0:v>3</ns0:v>
      </ns0:c>
      <ns0:c r="C4" s="3" t="inlineStr">
        <ns0:is>
          <ns0:t xml:space="preserve">성명 입력 필요 / SPOT CHECK</ns0:t>
        </ns0:is>
      </ns0:c>
      <ns0:c r="D4" s="3"/>
      <ns0:c r="E4" s="3"/>
      <ns0:c r="F4" s="4"/>
      <ns0:c r="G4" s="4"/>
      <ns0:c r="H4" s="4"/>
      <ns0:c r="I4" s="4"/>
    </ns0:row>
    <ns0:row r="5" customFormat="false" ht="24" hidden="false" customHeight="true" outlineLevel="0" collapsed="false">
      <ns0:c r="B5" s="2" t="s">
        <ns0:v>4</ns0:v>
      </ns0:c>
      <ns0:c r="C5" s="3" t="inlineStr">
        <ns0:is>
          <ns0:t xml:space="preserve">성명 입력 필요 (AI 검증 정리)</ns0:t>
        </ns0:is>
      </ns0:c>
      <ns0:c r="D5" s="3"/>
      <ns0:c r="E5" s="3"/>
      <ns0:c r="F5" s="4"/>
      <ns0:c r="G5" s="4"/>
      <ns0:c r="H5" s="4"/>
      <ns0:c r="I5" s="4"/>
    </ns0:row>
    <ns0:row r="6" customFormat="false" ht="24" hidden="false" customHeight="true" outlineLevel="0" collapsed="false">
      <ns0:c r="B6" s="2" t="s">
        <ns0:v>5</ns0:v>
      </ns0:c>
      <ns0:c r="C6" s="3" t="inlineStr">
        <ns0:is>
          <ns0:t xml:space="preserve">2026-10-23</ns0:t>
        </ns0:is>
      </ns0:c>
      <ns0:c r="D6" s="3"/>
      <ns0:c r="E6" s="3"/>
      <ns0:c r="F6" s="4"/>
      <ns0:c r="G6" s="4"/>
      <ns0:c r="H6" s="4"/>
      <ns0:c r="I6" s="4"/>
    </ns0:row>
    <ns0:row r="7" customFormat="false" ht="18" hidden="false" customHeight="true" outlineLevel="0" collapsed="false">
      <ns0:c r="B7" s="5" t="s">
        <ns0:v>6</ns0:v>
      </ns0:c>
      <ns0:c r="C7" s="5"/>
      <ns0:c r="D7" s="5"/>
      <ns0:c r="E7" s="5"/>
      <ns0:c r="F7" s="5"/>
      <ns0:c r="G7" s="5"/>
      <ns0:c r="H7" s="5"/>
      <ns0:c r="I7" s="5"/>
    </ns0:row>
    <ns0:row r="8" customFormat="false" ht="24" hidden="false" customHeight="true" outlineLevel="0" collapsed="false">
      <ns0:c r="B8" s="2" t="s">
        <ns0:v>7</ns0:v>
      </ns0:c>
      <ns0:c r="C8" s="2" t="s">
        <ns0:v>8</ns0:v>
      </ns0:c>
      <ns0:c r="D8" s="2" t="s">
        <ns0:v>9</ns0:v>
      </ns0:c>
      <ns0:c r="E8" s="2" t="s">
        <ns0:v>10</ns0:v>
      </ns0:c>
      <ns0:c r="F8" s="2" t="s">
        <ns0:v>11</ns0:v>
      </ns0:c>
      <ns0:c r="G8" s="2" t="s">
        <ns0:v>12</ns0:v>
      </ns0:c>
      <ns0:c r="H8" s="2" t="s">
        <ns0:v>13</ns0:v>
      </ns0:c>
      <ns0:c r="I8" s="2" t="s">
        <ns0:v>14</ns0:v>
      </ns0:c>
    </ns0:row>
    <ns0:row r="9" customFormat="false" ht="34.5" hidden="false" customHeight="true" outlineLevel="0" collapsed="false">
      <ns0:c r="B9" s="6" t="s">
        <ns0:v>15</ns0:v>
      </ns0:c>
      <ns0:c r="C9" s="7" t="n">
        <ns0:v>1</ns0:v>
      </ns0:c>
      <ns0:c r="D9" s="7" t="s">
        <ns0:v>16</ns0:v>
      </ns0:c>
      <ns0:c r="E9" s="4" t="s">
        <ns0:v>17</ns0:v>
      </ns0:c>
      <ns0:c r="F9" s="4" t="s">
        <ns0:v>18</ns0:v>
      </ns0:c>
      <ns0:c r="G9" s="8" t="inlineStr">
        <ns0:is>
          <ns0:t xml:space="preserve">통과</ns0:t>
        </ns0:is>
      </ns0:c>
      <ns0:c r="H9" s="3" t="inlineStr">
        <ns0:is>
          <ns0:t>검증결과.md#requirements</ns0:t>
        </ns0:is>
      </ns0:c>
      <ns0:c r="I9" s="3" t="inlineStr">
        <ns0:is>
          <ns0:t xml:space="preserve">실제 메타데이터 100개 표본과 PDF 14개 격리 색인. 운영 DB 활성 1,452/14 확인.</ns0:t>
        </ns0:is>
      </ns0:c>
    </ns0:row>
    <ns0:row r="10" customFormat="false" ht="24" hidden="false" customHeight="true" outlineLevel="0" collapsed="false">
      <ns0:c r="B10" s="6"/>
      <ns0:c r="C10" s="7" t="n">
        <ns0:v>2</ns0:v>
      </ns0:c>
      <ns0:c r="D10" s="7" t="s">
        <ns0:v>19</ns0:v>
      </ns0:c>
      <ns0:c r="E10" s="4" t="s">
        <ns0:v>20</ns0:v>
      </ns0:c>
      <ns0:c r="F10" s="4" t="s">
        <ns0:v>21</ns0:v>
      </ns0:c>
      <ns0:c r="G10" s="8" t="inlineStr">
        <ns0:is>
          <ns0:t xml:space="preserve">통과</ns0:t>
        </ns0:is>
      </ns0:c>
      <ns0:c r="H10" s="3" t="inlineStr">
        <ns0:is>
          <ns0:t>검증결과.md#requirements</ns0:t>
        </ns0:is>
      </ns0:c>
      <ns0:c r="I10" s="3" t="inlineStr">
        <ns0:is>
          <ns0:t xml:space="preserve">격리 DB 로컬 임베딩 2회차 증가 0·임베딩 0. GMS 운영 재색인과 구분.</ns0:t>
        </ns0:is>
      </ns0:c>
    </ns0:row>
    <ns0:row r="11" customFormat="false" ht="48" hidden="false" customHeight="true" outlineLevel="0" collapsed="false">
      <ns0:c r="B11" s="6" t="s">
        <ns0:v>22</ns0:v>
      </ns0:c>
      <ns0:c r="C11" s="7" t="n">
        <ns0:v>3</ns0:v>
      </ns0:c>
      <ns0:c r="D11" s="7" t="s">
        <ns0:v>23</ns0:v>
      </ns0:c>
      <ns0:c r="E11" s="4" t="s">
        <ns0:v>24</ns0:v>
      </ns0:c>
      <ns0:c r="F11" s="4" t="s">
        <ns0:v>25</ns0:v>
      </ns0:c>
      <ns0:c r="G11" s="8" t="inlineStr">
        <ns0:is>
          <ns0:t>통과</ns0:t>
        </ns0:is>
      </ns0:c>
      <ns0:c r="H11" s="3" t="inlineStr">
        <ns0:is>
          <ns0:t>검증결과.md#requirements</ns0:t>
        </ns0:is>
      </ns0:c>
      <ns0:c r="I11" s="3" t="inlineStr">
        <ns0:is>
          <ns0:t>선별 문서만 색인 확인·추가하고 검색 document_id 필터로 제외 적용. 지역 설명은 필수 보존. 실제 Chroma 회귀 테스트 통과.</ns0:t>
        </ns0:is>
      </ns0:c>
    </ns0:row>
    <ns0:row r="12" customFormat="false" ht="34.5" hidden="false" customHeight="true" outlineLevel="0" collapsed="false">
      <ns0:c r="B12" s="6"/>
      <ns0:c r="C12" s="7" t="n">
        <ns0:v>4</ns0:v>
      </ns0:c>
      <ns0:c r="D12" s="7" t="s">
        <ns0:v>26</ns0:v>
      </ns0:c>
      <ns0:c r="E12" s="4" t="s">
        <ns0:v>27</ns0:v>
      </ns0:c>
      <ns0:c r="F12" s="4" t="s">
        <ns0:v>28</ns0:v>
      </ns0:c>
      <ns0:c r="G12" s="8" t="inlineStr">
        <ns0:is>
          <ns0:t xml:space="preserve">통과</ns0:t>
        </ns0:is>
      </ns0:c>
      <ns0:c r="H12" s="3" t="inlineStr">
        <ns0:is>
          <ns0:t>검증결과.md#requirements</ns0:t>
        </ns0:is>
      </ns0:c>
      <ns0:c r="I12" s="3" t="inlineStr">
        <ns0:is>
          <ns0:t xml:space="preserve">질의·검색어·모델·자료 버전 캐시와 중복 호출 회귀 검사.</ns0:t>
        </ns0:is>
      </ns0:c>
    </ns0:row>
    <ns0:row r="13" customFormat="false" ht="34.5" hidden="false" customHeight="true" outlineLevel="0" collapsed="false">
      <ns0:c r="B13" s="6"/>
      <ns0:c r="C13" s="7" t="n">
        <ns0:v>5</ns0:v>
      </ns0:c>
      <ns0:c r="D13" s="7" t="s">
        <ns0:v>29</ns0:v>
      </ns0:c>
      <ns0:c r="E13" s="4" t="s">
        <ns0:v>30</ns0:v>
      </ns0:c>
      <ns0:c r="F13" s="4" t="s">
        <ns0:v>31</ns0:v>
      </ns0:c>
      <ns0:c r="G13" s="8" t="inlineStr">
        <ns0:is>
          <ns0:t xml:space="preserve">통과</ns0:t>
        </ns0:is>
      </ns0:c>
      <ns0:c r="H13" s="3" t="inlineStr">
        <ns0:is>
          <ns0:t>검증결과.md#requirements</ns0:t>
        </ns0:is>
      </ns0:c>
      <ns0:c r="I13" s="3" t="inlineStr">
        <ns0:is>
          <ns0:t xml:space="preserve">실제 PDF 별도 DB 1000/200=14 → 500/100=18청크.</ns0:t>
        </ns0:is>
      </ns0:c>
    </ns0:row>
    <ns0:row r="14" customFormat="false" ht="34.5" hidden="false" customHeight="true" outlineLevel="0" collapsed="false">
      <ns0:c r="B14" s="6" t="s">
        <ns0:v>32</ns0:v>
      </ns0:c>
      <ns0:c r="C14" s="7" t="n">
        <ns0:v>6</ns0:v>
      </ns0:c>
      <ns0:c r="D14" s="7" t="s">
        <ns0:v>33</ns0:v>
      </ns0:c>
      <ns0:c r="E14" s="4" t="s">
        <ns0:v>34</ns0:v>
      </ns0:c>
      <ns0:c r="F14" s="9" t="s">
        <ns0:v>35</ns0:v>
      </ns0:c>
      <ns0:c r="G14" s="8" t="inlineStr">
        <ns0:is>
          <ns0:t xml:space="preserve">통과</ns0:t>
        </ns0:is>
      </ns0:c>
      <ns0:c r="H14" s="3" t="inlineStr">
        <ns0:is>
          <ns0:t>검증결과.md#requirements</ns0:t>
        </ns0:is>
      </ns0:c>
      <ns0:c r="I14" s="3" t="inlineStr">
        <ns0:is>
          <ns0:t xml:space="preserve">격리 DB 같은 질문 Top-k 변경 비교. 필수 지역 메타데이터 별도 포함.</ns0:t>
        </ns0:is>
      </ns0:c>
    </ns0:row>
    <ns0:row r="15" customFormat="false" ht="34.5" hidden="false" customHeight="true" outlineLevel="0" collapsed="false">
      <ns0:c r="B15" s="6"/>
      <ns0:c r="C15" s="7" t="n">
        <ns0:v>7</ns0:v>
      </ns0:c>
      <ns0:c r="D15" s="7" t="s">
        <ns0:v>36</ns0:v>
      </ns0:c>
      <ns0:c r="E15" s="9" t="s">
        <ns0:v>37</ns0:v>
      </ns0:c>
      <ns0:c r="F15" s="4" t="s">
        <ns0:v>38</ns0:v>
      </ns0:c>
      <ns0:c r="G15" s="8" t="inlineStr">
        <ns0:is>
          <ns0:t xml:space="preserve">통과</ns0:t>
        </ns0:is>
      </ns0:c>
      <ns0:c r="H15" s="3" t="inlineStr">
        <ns0:is>
          <ns0:t>검증결과.md#requirements</ns0:t>
        </ns0:is>
      </ns0:c>
      <ns0:c r="I15" s="3" t="inlineStr">
        <ns0:is>
          <ns0:t xml:space="preserve">실제 retrieve/generate 그래프·서비스 실행 확인.</ns0:t>
        </ns0:is>
      </ns0:c>
    </ns0:row>
    <ns0:row r="16" customFormat="false" ht="34.5" hidden="false" customHeight="true" outlineLevel="0" collapsed="false">
      <ns0:c r="B16" s="6"/>
      <ns0:c r="C16" s="7" t="n">
        <ns0:v>8</ns0:v>
      </ns0:c>
      <ns0:c r="D16" s="7" t="s">
        <ns0:v>39</ns0:v>
      </ns0:c>
      <ns0:c r="E16" s="4" t="s">
        <ns0:v>40</ns0:v>
      </ns0:c>
      <ns0:c r="F16" s="4" t="s">
        <ns0:v>41</ns0:v>
      </ns0:c>
      <ns0:c r="G16" s="8" t="inlineStr">
        <ns0:is>
          <ns0:t xml:space="preserve">통과</ns0:t>
        </ns0:is>
      </ns0:c>
      <ns0:c r="H16" s="3" t="inlineStr">
        <ns0:is>
          <ns0:t>검증결과.md#requirements</ns0:t>
        </ns0:is>
      </ns0:c>
      <ns0:c r="I16" s="3" t="inlineStr">
        <ns0:is>
          <ns0:t xml:space="preserve">본문/목록 번호 일치와 자료 유형·페이지·기준월 확인.</ns0:t>
        </ns0:is>
      </ns0:c>
    </ns0:row>
    <ns0:row r="17" customFormat="false" ht="48" hidden="false" customHeight="true" outlineLevel="0" collapsed="false">
      <ns0:c r="B17" s="6"/>
      <ns0:c r="C17" s="7" t="n">
        <ns0:v>9</ns0:v>
      </ns0:c>
      <ns0:c r="D17" s="7" t="s">
        <ns0:v>42</ns0:v>
      </ns0:c>
      <ns0:c r="E17" s="4" t="s">
        <ns0:v>43</ns0:v>
      </ns0:c>
      <ns0:c r="F17" s="4" t="s">
        <ns0:v>44</ns0:v>
      </ns0:c>
      <ns0:c r="G17" s="8" t="inlineStr">
        <ns0:is>
          <ns0:t xml:space="preserve">통과</ns0:t>
        </ns0:is>
      </ns0:c>
      <ns0:c r="H17" s="3" t="inlineStr">
        <ns0:is>
          <ns0:t>검증결과.md#requirements</ns0:t>
        </ns0:is>
      </ns0:c>
      <ns0:c r="I17" s="3" t="inlineStr">
        <ns0:is>
          <ns0:t xml:space="preserve">실시간 임대료 기권, 인용 0·근거 없음 안내.</ns0:t>
        </ns0:is>
      </ns0:c>
    </ns0:row>
    <ns0:row r="18" customFormat="false" ht="24" hidden="false" customHeight="true" outlineLevel="0" collapsed="false">
      <ns0:c r="B18" s="6" t="s">
        <ns0:v>45</ns0:v>
      </ns0:c>
      <ns0:c r="C18" s="7" t="n">
        <ns0:v>10</ns0:v>
      </ns0:c>
      <ns0:c r="D18" s="7" t="s">
        <ns0:v>46</ns0:v>
      </ns0:c>
      <ns0:c r="E18" s="4" t="s">
        <ns0:v>47</ns0:v>
      </ns0:c>
      <ns0:c r="F18" s="4" t="s">
        <ns0:v>48</ns0:v>
      </ns0:c>
      <ns0:c r="G18" s="8" t="inlineStr">
        <ns0:is>
          <ns0:t xml:space="preserve">통과</ns0:t>
        </ns0:is>
      </ns0:c>
      <ns0:c r="H18" s="3" t="inlineStr">
        <ns0:is>
          <ns0:t>검증결과.md#requirements</ns0:t>
        </ns0:is>
      </ns0:c>
      <ns0:c r="I18" s="3" t="inlineStr">
        <ns0:is>
          <ns0:t xml:space="preserve">실제 지역 변경과 보관 대화 복원 확인.</ns0:t>
        </ns0:is>
      </ns0:c>
    </ns0:row>
    <ns0:row r="19" customFormat="false" ht="34.5" hidden="false" customHeight="true" outlineLevel="0" collapsed="false">
      <ns0:c r="B19" s="6"/>
      <ns0:c r="C19" s="7" t="n">
        <ns0:v>11</ns0:v>
      </ns0:c>
      <ns0:c r="D19" s="7" t="s">
        <ns0:v>49</ns0:v>
      </ns0:c>
      <ns0:c r="E19" s="4" t="s">
        <ns0:v>50</ns0:v>
      </ns0:c>
      <ns0:c r="F19" s="4" t="s">
        <ns0:v>51</ns0:v>
      </ns0:c>
      <ns0:c r="G19" s="8" t="inlineStr">
        <ns0:is>
          <ns0:t xml:space="preserve">통과</ns0:t>
        </ns0:is>
      </ns0:c>
      <ns0:c r="H19" s="3" t="inlineStr">
        <ns0:is>
          <ns0:t>검증결과.md#requirements</ns0:t>
        </ns0:is>
      </ns0:c>
      <ns0:c r="I19" s="3" t="inlineStr">
        <ns0:is>
          <ns0:t xml:space="preserve">지원 지역 탐색이며 개별 점포 추천 아님.</ns0:t>
        </ns0:is>
      </ns0:c>
    </ns0:row>
    <ns0:row r="20" customFormat="false" ht="24" hidden="false" customHeight="true" outlineLevel="0" collapsed="false">
      <ns0:c r="B20" s="6"/>
      <ns0:c r="C20" s="7" t="n">
        <ns0:v>12</ns0:v>
      </ns0:c>
      <ns0:c r="D20" s="7" t="s">
        <ns0:v>52</ns0:v>
      </ns0:c>
      <ns0:c r="E20" s="4" t="s">
        <ns0:v>53</ns0:v>
      </ns0:c>
      <ns0:c r="F20" s="4" t="s">
        <ns0:v>54</ns0:v>
      </ns0:c>
      <ns0:c r="G20" s="8" t="inlineStr">
        <ns0:is>
          <ns0:t xml:space="preserve">통과</ns0:t>
        </ns0:is>
      </ns0:c>
      <ns0:c r="H20" s="3" t="inlineStr">
        <ns0:is>
          <ns0:t>검증결과.md#requirements</ns0:t>
        </ns0:is>
      </ns0:c>
      <ns0:c r="I20" s="3" t="inlineStr">
        <ns0:is>
          <ns0:t xml:space="preserve">등록 주소 좌표 반경 100m 계산·출처 연결.</ns0:t>
        </ns0:is>
      </ns0:c>
    </ns0:row>
    <ns0:row r="21" customFormat="false" ht="34.5" hidden="false" customHeight="true" outlineLevel="0" collapsed="false">
      <ns0:c r="B21" s="6"/>
      <ns0:c r="C21" s="7" t="n">
        <ns0:v>13</ns0:v>
      </ns0:c>
      <ns0:c r="D21" s="7" t="s">
        <ns0:v>55</ns0:v>
      </ns0:c>
      <ns0:c r="E21" s="4" t="s">
        <ns0:v>56</ns0:v>
      </ns0:c>
      <ns0:c r="F21" s="4" t="s">
        <ns0:v>57</ns0:v>
      </ns0:c>
      <ns0:c r="G21" s="8" t="inlineStr">
        <ns0:is>
          <ns0:t xml:space="preserve">통과</ns0:t>
        </ns0:is>
      </ns0:c>
      <ns0:c r="H21" s="3" t="inlineStr">
        <ns0:is>
          <ns0:t>검증결과.md#requirements</ns0:t>
        </ns0:is>
      </ns0:c>
      <ns0:c r="I21" s="3" t="inlineStr">
        <ns0:is>
          <ns0:t xml:space="preserve">실제 진행 상태와 별도 통제 환경의 키/빈 색인 안내.</ns0:t>
        </ns0:is>
      </ns0:c>
    </ns0:row>
    <ns0:row r="22" customFormat="false" ht="48" hidden="false" customHeight="true" outlineLevel="0" collapsed="false">
      <ns0:c r="B22" s="6"/>
      <ns0:c r="C22" s="7" t="n">
        <ns0:v>14</ns0:v>
      </ns0:c>
      <ns0:c r="D22" s="7" t="s">
        <ns0:v>55</ns0:v>
      </ns0:c>
      <ns0:c r="E22" s="9" t="s">
        <ns0:v>58</ns0:v>
      </ns0:c>
      <ns0:c r="F22" s="4" t="s">
        <ns0:v>59</ns0:v>
      </ns0:c>
      <ns0:c r="G22" s="8" t="inlineStr">
        <ns0:is>
          <ns0:t xml:space="preserve">해당없음</ns0:t>
        </ns0:is>
      </ns0:c>
      <ns0:c r="H22" s="3" t="inlineStr">
        <ns0:is>
          <ns0:t>검증결과.md#requirements</ns0:t>
        </ns0:is>
      </ns0:c>
      <ns0:c r="I22" s="3" t="inlineStr">
        <ns0:is>
          <ns0:t xml:space="preserve">의료·금융 전문 판단 도메인 아님.</ns0:t>
        </ns0:is>
      </ns0:c>
    </ns0:row>
    <ns0:row r="23" customFormat="false" ht="34.5" hidden="false" customHeight="true" outlineLevel="0" collapsed="false">
      <ns0:c r="B23" s="6" t="s">
        <ns0:v>60</ns0:v>
      </ns0:c>
      <ns0:c r="C23" s="7" t="n">
        <ns0:v>15</ns0:v>
      </ns0:c>
      <ns0:c r="D23" s="7" t="s">
        <ns0:v>61</ns0:v>
      </ns0:c>
      <ns0:c r="E23" s="4" t="s">
        <ns0:v>62</ns0:v>
      </ns0:c>
      <ns0:c r="F23" s="4" t="s">
        <ns0:v>63</ns0:v>
      </ns0:c>
      <ns0:c r="G23" s="8" t="inlineStr">
        <ns0:is>
          <ns0:t xml:space="preserve">해당없음</ns0:t>
        </ns0:is>
      </ns0:c>
      <ns0:c r="H23" s="3" t="inlineStr">
        <ns0:is>
          <ns0:t>검증결과.md#requirements</ns0:t>
        </ns0:is>
      </ns0:c>
      <ns0:c r="I23" s="3" t="inlineStr">
        <ns0:is>
          <ns0:t xml:space="preserve">F2013 미선택.</ns0:t>
        </ns0:is>
      </ns0:c>
    </ns0:row>
    <ns0:row r="24" customFormat="false" ht="34.5" hidden="false" customHeight="true" outlineLevel="0" collapsed="false">
      <ns0:c r="B24" s="6"/>
      <ns0:c r="C24" s="7" t="n">
        <ns0:v>16</ns0:v>
      </ns0:c>
      <ns0:c r="D24" s="7" t="s">
        <ns0:v>64</ns0:v>
      </ns0:c>
      <ns0:c r="E24" s="4" t="s">
        <ns0:v>65</ns0:v>
      </ns0:c>
      <ns0:c r="F24" s="4" t="s">
        <ns0:v>66</ns0:v>
      </ns0:c>
      <ns0:c r="G24" s="8" t="inlineStr">
        <ns0:is>
          <ns0:t xml:space="preserve">해당없음</ns0:t>
        </ns0:is>
      </ns0:c>
      <ns0:c r="H24" s="3" t="inlineStr">
        <ns0:is>
          <ns0:t>검증결과.md#requirements</ns0:t>
        </ns0:is>
      </ns0:c>
      <ns0:c r="I24" s="3" t="inlineStr">
        <ns0:is>
          <ns0:t xml:space="preserve">F2014 미선택.</ns0:t>
        </ns0:is>
      </ns0:c>
    </ns0:row>
    <ns0:row r="25" customFormat="false" ht="61.5" hidden="false" customHeight="true" outlineLevel="0" collapsed="false">
      <ns0:c r="B25" s="6"/>
      <ns0:c r="C25" s="7" t="n">
        <ns0:v>17</ns0:v>
      </ns0:c>
      <ns0:c r="D25" s="7" t="s">
        <ns0:v>67</ns0:v>
      </ns0:c>
      <ns0:c r="E25" s="4" t="s">
        <ns0:v>68</ns0:v>
      </ns0:c>
      <ns0:c r="F25" s="4" t="s">
        <ns0:v>69</ns0:v>
      </ns0:c>
      <ns0:c r="G25" s="8" t="inlineStr">
        <ns0:is>
          <ns0:t xml:space="preserve">통과</ns0:t>
        </ns0:is>
      </ns0:c>
      <ns0:c r="H25" s="3" t="inlineStr">
        <ns0:is>
          <ns0:t>검증결과.md#quality</ns0:t>
        </ns0:is>
      </ns0:c>
      <ns0:c r="I25" s="3" t="inlineStr">
        <ns0:is>
          <ns0:t xml:space="preserve">현재 Luna 5문항 비교. PDF 문항 프롬프트1 실패 후 대체 처리 포함.</ns0:t>
        </ns0:is>
      </ns0:c>
    </ns0:row>
    <ns0:row r="26" customFormat="false" ht="24" hidden="false" customHeight="true" outlineLevel="0" collapsed="false">
      <ns0:c r="B26" s="6"/>
      <ns0:c r="C26" s="7" t="n">
        <ns0:v>18</ns0:v>
      </ns0:c>
      <ns0:c r="D26" s="7" t="s">
        <ns0:v>67</ns0:v>
      </ns0:c>
      <ns0:c r="E26" s="4" t="s">
        <ns0:v>70</ns0:v>
      </ns0:c>
      <ns0:c r="F26" s="4" t="s">
        <ns0:v>71</ns0:v>
      </ns0:c>
      <ns0:c r="G26" s="8" t="inlineStr">
        <ns0:is>
          <ns0:t xml:space="preserve">통과</ns0:t>
        </ns0:is>
      </ns0:c>
      <ns0:c r="H26" s="3" t="inlineStr">
        <ns0:is>
          <ns0:t>검증결과.md#quality</ns0:t>
        </ns0:is>
      </ns0:c>
      <ns0:c r="I26" s="3" t="inlineStr">
        <ns0:is>
          <ns0:t xml:space="preserve">전체 답변·시간·근거·평가와 원시 JSON 포함.</ns0:t>
        </ns0:is>
      </ns0:c>
    </ns0:row>
    <ns0:row r="27" customFormat="false" ht="24" hidden="false" customHeight="true" outlineLevel="0" collapsed="false">
      <ns0:c r="B27" s="6"/>
      <ns0:c r="C27" s="7" t="n">
        <ns0:v>19</ns0:v>
      </ns0:c>
      <ns0:c r="D27" s="7" t="s">
        <ns0:v>72</ns0:v>
      </ns0:c>
      <ns0:c r="E27" s="4" t="s">
        <ns0:v>73</ns0:v>
      </ns0:c>
      <ns0:c r="F27" s="4" t="s">
        <ns0:v>74</ns0:v>
      </ns0:c>
      <ns0:c r="G27" s="8" t="inlineStr">
        <ns0:is>
          <ns0:t xml:space="preserve">해당없음</ns0:t>
        </ns0:is>
      </ns0:c>
      <ns0:c r="H27" s="3" t="inlineStr">
        <ns0:is>
          <ns0:t>검증결과.md#requirements</ns0:t>
        </ns0:is>
      </ns0:c>
      <ns0:c r="I27" s="3" t="inlineStr">
        <ns0:is>
          <ns0:t xml:space="preserve">F2016 미선택.</ns0:t>
        </ns0:is>
      </ns0:c>
    </ns0:row>
    <ns0:row r="28" customFormat="false" ht="24" hidden="false" customHeight="true" outlineLevel="0" collapsed="false">
      <ns0:c r="B28" s="6" t="s">
        <ns0:v>75</ns0:v>
      </ns0:c>
      <ns0:c r="C28" s="7" t="n">
        <ns0:v>20</ns0:v>
      </ns0:c>
      <ns0:c r="D28" s="7" t="s">
        <ns0:v>76</ns0:v>
      </ns0:c>
      <ns0:c r="E28" s="4" t="s">
        <ns0:v>77</ns0:v>
      </ns0:c>
      <ns0:c r="F28" s="4" t="s">
        <ns0:v>78</ns0:v>
      </ns0:c>
      <ns0:c r="G28" s="8" t="inlineStr">
        <ns0:is>
          <ns0:t>통과</ns0:t>
        </ns0:is>
      </ns0:c>
      <ns0:c r="H28" s="3" t="inlineStr">
        <ns0:is>
          <ns0:t>검증결과.md#requirements</ns0:t>
        </ns0:is>
      </ns0:c>
      <ns0:c r="I28" s="3" t="inlineStr">
        <ns0:is>
          <ns0:t>대표 단일 사용자 질문: 모델 캐시 없는 첫 응답 12.428초, 반복 0.381초. 사용자 선표시·진행 안내 확인. 다중 사용자 부하·운영 SLA 검증은 포함하지 않음.</ns0:t>
        </ns0:is>
      </ns0:c>
    </ns0:row>
    <ns0:row r="29" customFormat="false" ht="48" hidden="false" customHeight="true" outlineLevel="0" collapsed="false">
      <ns0:c r="B29" s="6"/>
      <ns0:c r="C29" s="7" t="n">
        <ns0:v>21</ns0:v>
      </ns0:c>
      <ns0:c r="D29" s="7" t="s">
        <ns0:v>79</ns0:v>
      </ns0:c>
      <ns0:c r="E29" s="4" t="s">
        <ns0:v>80</ns0:v>
      </ns0:c>
      <ns0:c r="F29" s="4" t="s">
        <ns0:v>81</ns0:v>
      </ns0:c>
      <ns0:c r="G29" s="8" t="inlineStr">
        <ns0:is>
          <ns0:t xml:space="preserve">통과</ns0:t>
        </ns0:is>
      </ns0:c>
      <ns0:c r="H29" s="3" t="inlineStr">
        <ns0:is>
          <ns0:t>검증결과.md#requirements</ns0:t>
        </ns0:is>
      </ns0:c>
      <ns0:c r="I29" s="3" t="inlineStr">
        <ns0:is>
          <ns0:t xml:space="preserve">키 혼입·추적 비밀 파일 0. 통제 오류 비노출 확인.</ns0:t>
        </ns0:is>
      </ns0:c>
    </ns0:row>
    <ns0:row r="30" customFormat="false" ht="34.5" hidden="false" customHeight="true" outlineLevel="0" collapsed="false">
      <ns0:c r="B30" s="6"/>
      <ns0:c r="C30" s="7" t="n">
        <ns0:v>22</ns0:v>
      </ns0:c>
      <ns0:c r="D30" s="7" t="s">
        <ns0:v>82</ns0:v>
      </ns0:c>
      <ns0:c r="E30" s="4" t="s">
        <ns0:v>83</ns0:v>
      </ns0:c>
      <ns0:c r="F30" s="4" t="s">
        <ns0:v>84</ns0:v>
      </ns0:c>
      <ns0:c r="G30" s="8" t="inlineStr">
        <ns0:is>
          <ns0:t xml:space="preserve">통과</ns0:t>
        </ns0:is>
      </ns0:c>
      <ns0:c r="H30" s="3" t="inlineStr">
        <ns0:is>
          <ns0:t>검증결과.md#requirements</ns0:t>
        </ns0:is>
      </ns0:c>
      <ns0:c r="I30" s="3" t="inlineStr">
        <ns0:is>
          <ns0:t xml:space="preserve">collectors/rag/services/ui 분리.</ns0:t>
        </ns0:is>
      </ns0:c>
    </ns0:row>
    <ns0:row r="31" customFormat="false" ht="34.5" hidden="false" customHeight="true" outlineLevel="0" collapsed="false">
      <ns0:c r="B31" s="6"/>
      <ns0:c r="C31" s="7" t="n">
        <ns0:v>23</ns0:v>
      </ns0:c>
      <ns0:c r="D31" s="7" t="s">
        <ns0:v>85</ns0:v>
      </ns0:c>
      <ns0:c r="E31" s="4" t="s">
        <ns0:v>86</ns0:v>
      </ns0:c>
      <ns0:c r="F31" s="4" t="s">
        <ns0:v>87</ns0:v>
      </ns0:c>
      <ns0:c r="G31" s="8" t="inlineStr">
        <ns0:is>
          <ns0:t>통과</ns0:t>
        </ns0:is>
      </ns0:c>
      <ns0:c r="H31" s="3" t="inlineStr">
        <ns0:is>
          <ns0:t>검증결과.md#requirements</ns0:t>
        </ns0:is>
      </ns0:c>
      <ns0:c r="I31" s="3" t="inlineStr">
        <ns0:is>
          <ns0:t>현재 채팅 운영 범위: GMS 인증 헤더·제한 재시도·시간 제한과 429 모의 검사 확인. CSV/PDF는 로컬 파일로 수집 요청 없음. 위키백과 미사용. 별도 웹 수집 CLI의 출처별 실호출 검증은 범위 외.</ns0:t>
        </ns0:is>
      </ns0:c>
    </ns0:row>
    <ns0:row r="32" customFormat="false" ht="24" hidden="false" customHeight="true" outlineLevel="0" collapsed="false">
      <ns0:c r="B32" s="6"/>
      <ns0:c r="C32" s="7" t="n">
        <ns0:v>24</ns0:v>
      </ns0:c>
      <ns0:c r="D32" s="7" t="s">
        <ns0:v>88</ns0:v>
      </ns0:c>
      <ns0:c r="E32" s="4" t="s">
        <ns0:v>89</ns0:v>
      </ns0:c>
      <ns0:c r="F32" s="9" t="s">
        <ns0:v>90</ns0:v>
      </ns0:c>
      <ns0:c r="G32" s="8" t="inlineStr">
        <ns0:is>
          <ns0:t>통과</ns0:t>
        </ns0:is>
      </ns0:c>
      <ns0:c r="H32" s="3" t="inlineStr">
        <ns0:is>
          <ns0:t>검증결과.md#requirements</ns0:t>
        </ns0:is>
      </ns0:c>
      <ns0:c r="I32" s="3" t="inlineStr">
        <ns0:is>
          <ns0:t>README 및 docs/data_sources.md에 출처·기준월·이용 조건과 미확정 사항 기록 확인. 공개 재배포 허가 확인과는 구분.</ns0:t>
        </ns0:is>
      </ns0:c>
    </ns0:row>
    <ns0:row r="33" customFormat="false" ht="34.5" hidden="false" customHeight="true" outlineLevel="0" collapsed="false">
      <ns0:c r="B33" s="6" t="s">
        <ns0:v>91</ns0:v>
      </ns0:c>
      <ns0:c r="C33" s="7" t="n">
        <ns0:v>25</ns0:v>
      </ns0:c>
      <ns0:c r="D33" s="10" t="s">
        <ns0:v>92</ns0:v>
      </ns0:c>
      <ns0:c r="E33" s="4" t="s">
        <ns0:v>93</ns0:v>
      </ns0:c>
      <ns0:c r="F33" s="4" t="s">
        <ns0:v>94</ns0:v>
      </ns0:c>
      <ns0:c r="G33" s="8" t="inlineStr">
        <ns0:is>
          <ns0:t>통과</ns0:t>
        </ns0:is>
      </ns0:c>
      <ns0:c r="H33" s="3" t="inlineStr">
        <ns0:is>
          <ns0:t>검증결과.md#requirements</ns0:t>
        </ns0:is>
      </ns0:c>
      <ns0:c r="I33" s="3" t="inlineStr">
        <ns0:is>
          <ns0:t>회귀 78개 통과. 실제 GMS P1/P2/P3, 두 컬렉션, 선정 ID 제한, 근거 표시, 반복 캐시 확인. 기존 F2015 비교 기록 포함. 상호 점검은 별도 미실시.</ns0:t>
        </ns0:is>
      </ns0:c>
    </ns0:row>
    <ns0:row r="34" customFormat="false" ht="24" hidden="false" customHeight="true" outlineLevel="0" collapsed="false">
      <ns0:c r="B34" s="6"/>
      <ns0:c r="C34" s="7" t="n">
        <ns0:v>26</ns0:v>
      </ns0:c>
      <ns0:c r="D34" s="10" t="s">
        <ns0:v>92</ns0:v>
      </ns0:c>
      <ns0:c r="E34" s="4" t="s">
        <ns0:v>95</ns0:v>
      </ns0:c>
      <ns0:c r="F34" s="4" t="s">
        <ns0:v>96</ns0:v>
      </ns0:c>
      <ns0:c r="G34" s="8" t="inlineStr">
        <ns0:is>
          <ns0:t xml:space="preserve">통과</ns0:t>
        </ns0:is>
      </ns0:c>
      <ns0:c r="H34" s="3" t="inlineStr">
        <ns0:is>
          <ns0:t>검증결과.md#requirements</ns0:t>
        </ns0:is>
      </ns0:c>
      <ns0:c r="I34" s="3" t="inlineStr">
        <ns0:is>
          <ns0:t xml:space="preserve">실서비스·통제 실패·실제 기록 뷰어를 구분해 4장 화면 첨부.</ns0:t>
        </ns0:is>
      </ns0:c>
    </ns0:row>
    <ns0:row r="35" customFormat="false" ht="48" hidden="false" customHeight="true" outlineLevel="0" collapsed="false">
      <ns0:c r="B35" s="6"/>
      <ns0:c r="C35" s="7" t="n">
        <ns0:v>27</ns0:v>
      </ns0:c>
      <ns0:c r="D35" s="10" t="s">
        <ns0:v>92</ns0:v>
      </ns0:c>
      <ns0:c r="E35" s="4" t="s">
        <ns0:v>97</ns0:v>
      </ns0:c>
      <ns0:c r="F35" s="4" t="s">
        <ns0:v>71</ns0:v>
      </ns0:c>
      <ns0:c r="G35" s="8" t="inlineStr">
        <ns0:is>
          <ns0:t xml:space="preserve">통과</ns0:t>
        </ns0:is>
      </ns0:c>
      <ns0:c r="H35" s="3" t="inlineStr">
        <ns0:is>
          <ns0:t>검증결과.md#requirements</ns0:t>
        </ns0:is>
      </ns0:c>
      <ns0:c r="I35" s="3" t="inlineStr">
        <ns0:is>
          <ns0:t xml:space="preserve">정의서·설계·코드 ZIP·README·검증 문서 포함. 상호 검토 결과는 미실시.</ns0:t>
        </ns0:is>
      </ns0:c>
    </ns0:row>
    <ns0:row r="37" customFormat="false" ht="19.5" hidden="false" customHeight="true" outlineLevel="0" collapsed="false">
      <ns0:c r="B37" s="2" t="s">
        <ns0:v>98</ns0:v>
      </ns0:c>
      <ns0:c r="C37" s="11" t="s">
        <ns0:v>99</ns0:v>
      </ns0:c>
      <ns0:c r="D37" s="11"/>
      <ns0:c r="E37" s="11"/>
      <ns0:c r="F37" s="12" t="n">
        <ns0:f>COUNTIF($G$9:$G$35,"통과")</ns0:f>
        <ns0:v>23</ns0:v>
      </ns0:c>
      <ns0:c r="G37" s="4" t="s">
        <ns0:v>100</ns0:v>
      </ns0:c>
      <ns0:c r="H37" s="4"/>
      <ns0:c r="I37" s="4"/>
    </ns0:row>
    <ns0:row r="38" customFormat="false" ht="19.5" hidden="false" customHeight="true" outlineLevel="0" collapsed="false">
      <ns0:c r="B38" s="2"/>
      <ns0:c r="C38" s="11" t="s">
        <ns0:v>101</ns0:v>
      </ns0:c>
      <ns0:c r="D38" s="11"/>
      <ns0:c r="E38" s="11"/>
      <ns0:c r="F38" s="12" t="n">
        <ns0:f>COUNTIF($G$9:$G$35,"실패")</ns0:f>
        <ns0:v>0</ns0:v>
      </ns0:c>
      <ns0:c r="G38" s="4"/>
      <ns0:c r="H38" s="4"/>
      <ns0:c r="I38" s="4"/>
    </ns0:row>
    <ns0:row r="39" customFormat="false" ht="19.5" hidden="false" customHeight="true" outlineLevel="0" collapsed="false">
      <ns0:c r="B39" s="2"/>
      <ns0:c r="C39" s="11" t="s">
        <ns0:v>102</ns0:v>
      </ns0:c>
      <ns0:c r="D39" s="11"/>
      <ns0:c r="E39" s="11"/>
      <ns0:c r="F39" s="12" t="n">
        <ns0:f>COUNTIF($G$9:$G$35,"미확인")</ns0:f>
        <ns0:v>0</ns0:v>
      </ns0:c>
      <ns0:c r="G39" s="4"/>
      <ns0:c r="H39" s="4"/>
      <ns0:c r="I39" s="4"/>
    </ns0:row>
    <ns0:row r="40" customFormat="false" ht="19.5" hidden="false" customHeight="true" outlineLevel="0" collapsed="false">
      <ns0:c r="B40" s="2"/>
      <ns0:c r="C40" s="11" t="s">
        <ns0:v>103</ns0:v>
      </ns0:c>
      <ns0:c r="D40" s="11"/>
      <ns0:c r="E40" s="11"/>
      <ns0:c r="F40" s="12" t="n">
        <ns0:f>COUNTIF($G$9:$G$35,"해당없음")</ns0:f>
        <ns0:v>4</ns0:v>
      </ns0:c>
      <ns0:c r="G40" s="4"/>
      <ns0:c r="H40" s="4"/>
      <ns0:c r="I40" s="4"/>
    </ns0:row>
    <ns0:row r="41" customFormat="false" ht="19.5" hidden="false" customHeight="true" outlineLevel="0" collapsed="false">
      <ns0:c r="B41" s="2"/>
      <ns0:c r="C41" s="11" t="s">
        <ns0:v>104</ns0:v>
      </ns0:c>
      <ns0:c r="D41" s="11"/>
      <ns0:c r="E41" s="11"/>
      <ns0:c r="F41" s="12" t="n">
        <ns0:f>COUNTBLANK($G$9:$G$35)</ns0:f>
        <ns0:v>0</ns0:v>
      </ns0:c>
      <ns0:c r="G41" s="4"/>
      <ns0:c r="H41" s="4"/>
      <ns0:c r="I41" s="4"/>
    </ns0:row>
    <ns0:row r="42" customFormat="false" ht="19.5" hidden="false" customHeight="true" outlineLevel="0" collapsed="false">
      <ns0:c r="B42" s="2"/>
      <ns0:c r="C42" s="11" t="s">
        <ns0:v>105</ns0:v>
      </ns0:c>
      <ns0:c r="D42" s="11"/>
      <ns0:c r="E42" s="11"/>
      <ns0:c r="F42" s="12" t="n">
        <ns0:f>ROWS($G$9:$G$35)</ns0:f>
        <ns0:v>27</ns0:v>
      </ns0:c>
      <ns0:c r="G42" s="4"/>
      <ns0:c r="H42" s="4"/>
      <ns0:c r="I42" s="4"/>
    </ns0:row>
    <ns0:row r="43" customFormat="false" ht="7.5" hidden="false" customHeight="true" outlineLevel="0" collapsed="false"/>
    <ns0:row r="44" customFormat="false" ht="21.75" hidden="false" customHeight="true" outlineLevel="0" collapsed="false">
      <ns0:c r="B44" s="13" t="s">
        <ns0:v>106</ns0:v>
      </ns0:c>
      <ns0:c r="C44" s="13"/>
      <ns0:c r="D44" s="13"/>
      <ns0:c r="E44" s="13"/>
      <ns0:c r="F44" s="13"/>
      <ns0:c r="G44" s="13"/>
      <ns0:c r="H44" s="13"/>
      <ns0:c r="I44" s="13"/>
    </ns0:row>
    <ns0:row r="45" customFormat="false" ht="42" hidden="false" customHeight="true" outlineLevel="0" collapsed="false">
      <ns0:c r="B45" s="11" t="s">
        <ns0:v>107</ns0:v>
      </ns0:c>
      <ns0:c r="C45" s="14"/>
      <ns0:c r="D45" s="14"/>
      <ns0:c r="E45" s="14"/>
      <ns0:c r="F45" s="14"/>
      <ns0:c r="G45" s="14"/>
      <ns0:c r="H45" s="14"/>
      <ns0:c r="I45" s="14"/>
    </ns0:row>
    <ns0:row r="46" customFormat="false" ht="42" hidden="false" customHeight="true" outlineLevel="0" collapsed="false">
      <ns0:c r="B46" s="11" t="s">
        <ns0:v>108</ns0:v>
      </ns0:c>
      <ns0:c r="C46" s="14"/>
      <ns0:c r="D46" s="14"/>
      <ns0:c r="E46" s="14"/>
      <ns0:c r="F46" s="14"/>
      <ns0:c r="G46" s="14"/>
      <ns0:c r="H46" s="14"/>
      <ns0:c r="I46" s="14"/>
    </ns0:row>
  </ns0:sheetData>
  <ns0:mergeCells count="25">
    <ns0:mergeCell ref="B2:I2"/>
    <ns0:mergeCell ref="C3:E3"/>
    <ns0:mergeCell ref="F3:I6"/>
    <ns0:mergeCell ref="C4:E4"/>
    <ns0:mergeCell ref="C5:E5"/>
    <ns0:mergeCell ref="C6:E6"/>
    <ns0:mergeCell ref="B7:I7"/>
    <ns0:mergeCell ref="B9:B10"/>
    <ns0:mergeCell ref="B11:B13"/>
    <ns0:mergeCell ref="B14:B17"/>
    <ns0:mergeCell ref="B18:B22"/>
    <ns0:mergeCell ref="B23:B27"/>
    <ns0:mergeCell ref="B28:B32"/>
    <ns0:mergeCell ref="B33:B35"/>
    <ns0:mergeCell ref="B37:B42"/>
    <ns0:mergeCell ref="C37:E37"/>
    <ns0:mergeCell ref="G37:I42"/>
    <ns0:mergeCell ref="C38:E38"/>
    <ns0:mergeCell ref="C39:E39"/>
    <ns0:mergeCell ref="C40:E40"/>
    <ns0:mergeCell ref="C41:E41"/>
    <ns0:mergeCell ref="C42:E42"/>
    <ns0:mergeCell ref="B44:I44"/>
    <ns0:mergeCell ref="C45:I45"/>
    <ns0:mergeCell ref="C46:I46"/>
  </ns0:mergeCells>
  <ns0:conditionalFormatting sqref="G9:G35">
    <ns0:cfRule type="cellIs" priority="2" operator="equal" aboveAverage="0" equalAverage="0" bottom="0" percent="0" rank="0" text="" dxfId="0">
      <ns0:formula>"통과"</ns0:formula>
    </ns0:cfRule>
    <ns0:cfRule type="cellIs" priority="3" operator="equal" aboveAverage="0" equalAverage="0" bottom="0" percent="0" rank="0" text="" dxfId="1">
      <ns0:formula>"실패"</ns0:formula>
    </ns0:cfRule>
    <ns0:cfRule type="cellIs" priority="4" operator="equal" aboveAverage="0" equalAverage="0" bottom="0" percent="0" rank="0" text="" dxfId="2">
      <ns0:formula>"미확인"</ns0:formula>
    </ns0:cfRule>
    <ns0:cfRule type="cellIs" priority="5" operator="equal" aboveAverage="0" equalAverage="0" bottom="0" percent="0" rank="0" text="" dxfId="3">
      <ns0:formula>"해당없음"</ns0:formula>
    </ns0:cfRule>
  </ns0:conditionalFormatting>
  <ns0:dataValidations count="2">
    <ns0:dataValidation allowBlank="true" errorStyle="stop" operator="between" showDropDown="false" showErrorMessage="false" showInputMessage="false" sqref="C3" type="list">
      <ns0:formula1>"셀프,상호"</ns0:formula1>
      <ns0:formula2>0</ns0:formula2>
    </ns0:dataValidation>
    <ns0:dataValidation allowBlank="true" error="통과 / 실패 / 미확인 / 해당없음 중에서 선택하세요." errorStyle="stop" errorTitle="결과 선택" operator="between" showDropDown="false" showErrorMessage="true" showInputMessage="false" sqref="G9:G35" type="list">
      <ns0:formula1>"통과,실패,미확인,해당없음"</ns0:formula1>
      <ns0:formula2>0</ns0:formula2>
    </ns0:dataValidation>
  </ns0:dataValidations>
  <ns0:printOptions headings="false" gridLines="false" gridLinesSet="true" horizontalCentered="false" verticalCentered="false"/>
  <ns0:pageMargins left="0.4" right="0.4" top="0.5" bottom="0.5" header="0.511811023622047" footer="0.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>&amp;C&amp;8 &amp;P / &amp;N 쪽 · 확인하지 않은 것을 통과로 적지 않습니다.</ns0:oddFooter>
  </ns0:headerFooter>
</ns0: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40"/>
  </cols>
  <sheetData>
    <row r="2" customFormat="false" ht="30" hidden="false" customHeight="true" outlineLevel="0" collapsed="false">
      <c r="B2" s="15" t="s">
        <v>109</v>
      </c>
      <c r="C2" s="15"/>
      <c r="D2" s="15"/>
      <c r="E2" s="15"/>
      <c r="F2" s="15"/>
      <c r="G2" s="15"/>
      <c r="H2" s="15"/>
    </row>
    <row r="4" customFormat="false" ht="45.75" hidden="false" customHeight="true" outlineLevel="0" collapsed="false">
      <c r="B4" s="16" t="s">
        <v>110</v>
      </c>
      <c r="C4" s="17" t="s">
        <v>111</v>
      </c>
      <c r="D4" s="17"/>
      <c r="E4" s="17"/>
      <c r="F4" s="17"/>
      <c r="G4" s="17"/>
      <c r="H4" s="17"/>
    </row>
    <row r="5" customFormat="false" ht="45.75" hidden="false" customHeight="true" outlineLevel="0" collapsed="false">
      <c r="B5" s="16" t="s">
        <v>112</v>
      </c>
      <c r="C5" s="17" t="s">
        <v>113</v>
      </c>
      <c r="D5" s="17"/>
      <c r="E5" s="17"/>
      <c r="F5" s="17"/>
      <c r="G5" s="17"/>
      <c r="H5" s="17"/>
    </row>
    <row r="6" customFormat="false" ht="81.75" hidden="false" customHeight="true" outlineLevel="0" collapsed="false">
      <c r="B6" s="16" t="s">
        <v>12</v>
      </c>
      <c r="C6" s="17" t="s">
        <v>114</v>
      </c>
      <c r="D6" s="17"/>
      <c r="E6" s="17"/>
      <c r="F6" s="17"/>
      <c r="G6" s="17"/>
      <c r="H6" s="17"/>
    </row>
    <row r="7" customFormat="false" ht="45.75" hidden="false" customHeight="true" outlineLevel="0" collapsed="false">
      <c r="B7" s="16" t="s">
        <v>115</v>
      </c>
      <c r="C7" s="17" t="s">
        <v>116</v>
      </c>
      <c r="D7" s="17"/>
      <c r="E7" s="17"/>
      <c r="F7" s="17"/>
      <c r="G7" s="17"/>
      <c r="H7" s="17"/>
    </row>
    <row r="8" customFormat="false" ht="27.75" hidden="false" customHeight="true" outlineLevel="0" collapsed="false">
      <c r="B8" s="16" t="s">
        <v>98</v>
      </c>
      <c r="C8" s="17" t="s">
        <v>117</v>
      </c>
      <c r="D8" s="17"/>
      <c r="E8" s="17"/>
      <c r="F8" s="17"/>
      <c r="G8" s="17"/>
      <c r="H8" s="17"/>
    </row>
    <row r="9" customFormat="false" ht="45.75" hidden="false" customHeight="true" outlineLevel="0" collapsed="false">
      <c r="B9" s="16" t="s">
        <v>118</v>
      </c>
      <c r="C9" s="17" t="s">
        <v>119</v>
      </c>
      <c r="D9" s="17"/>
      <c r="E9" s="17"/>
      <c r="F9" s="17"/>
      <c r="G9" s="17"/>
      <c r="H9" s="17"/>
    </row>
    <row r="10" customFormat="false" ht="27.75" hidden="false" customHeight="true" outlineLevel="0" collapsed="false">
      <c r="B10" s="16" t="s">
        <v>120</v>
      </c>
      <c r="C10" s="18" t="s">
        <v>121</v>
      </c>
      <c r="D10" s="18"/>
      <c r="E10" s="18"/>
      <c r="F10" s="18"/>
      <c r="G10" s="18"/>
      <c r="H10" s="18"/>
    </row>
    <row r="12" customFormat="false" ht="15" hidden="false" customHeight="true" outlineLevel="0" collapsed="false">
      <c r="B12" s="19" t="s">
        <v>122</v>
      </c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B13" s="20" t="s">
        <v>7</v>
      </c>
      <c r="C13" s="20" t="s">
        <v>8</v>
      </c>
      <c r="D13" s="20" t="s">
        <v>9</v>
      </c>
      <c r="E13" s="20" t="s">
        <v>10</v>
      </c>
      <c r="F13" s="20" t="s">
        <v>12</v>
      </c>
      <c r="G13" s="20" t="s">
        <v>123</v>
      </c>
      <c r="H13" s="20" t="s">
        <v>124</v>
      </c>
    </row>
    <row r="14" customFormat="false" ht="45.75" hidden="false" customHeight="true" outlineLevel="0" collapsed="false">
      <c r="B14" s="4" t="s">
        <v>22</v>
      </c>
      <c r="C14" s="21" t="n">
        <v>4</v>
      </c>
      <c r="D14" s="22" t="s">
        <v>26</v>
      </c>
      <c r="E14" s="4" t="s">
        <v>27</v>
      </c>
      <c r="F14" s="23" t="s">
        <v>99</v>
      </c>
      <c r="G14" s="22" t="s">
        <v>125</v>
      </c>
      <c r="H14" s="4"/>
    </row>
    <row r="15" customFormat="false" ht="45.75" hidden="false" customHeight="true" outlineLevel="0" collapsed="false">
      <c r="B15" s="4" t="s">
        <v>32</v>
      </c>
      <c r="C15" s="21" t="n">
        <v>9</v>
      </c>
      <c r="D15" s="22" t="s">
        <v>42</v>
      </c>
      <c r="E15" s="4" t="s">
        <v>126</v>
      </c>
      <c r="F15" s="24" t="s">
        <v>101</v>
      </c>
      <c r="G15" s="22" t="s">
        <v>127</v>
      </c>
      <c r="H15" s="4" t="s">
        <v>128</v>
      </c>
    </row>
    <row r="16" customFormat="false" ht="45.75" hidden="false" customHeight="true" outlineLevel="0" collapsed="false">
      <c r="B16" s="4" t="s">
        <v>129</v>
      </c>
      <c r="C16" s="21" t="n">
        <v>16</v>
      </c>
      <c r="D16" s="22" t="s">
        <v>64</v>
      </c>
      <c r="E16" s="4" t="s">
        <v>130</v>
      </c>
      <c r="F16" s="25" t="s">
        <v>103</v>
      </c>
      <c r="G16" s="4"/>
      <c r="H16" s="22" t="s">
        <v>131</v>
      </c>
    </row>
    <row r="17" customFormat="false" ht="45.75" hidden="false" customHeight="true" outlineLevel="0" collapsed="false">
      <c r="B17" s="4" t="s">
        <v>75</v>
      </c>
      <c r="C17" s="21" t="n">
        <v>20</v>
      </c>
      <c r="D17" s="22" t="s">
        <v>76</v>
      </c>
      <c r="E17" s="4" t="s">
        <v>77</v>
      </c>
      <c r="F17" s="26" t="s">
        <v>102</v>
      </c>
      <c r="G17" s="4"/>
      <c r="H17" s="22" t="s">
        <v>132</v>
      </c>
    </row>
  </sheetData>
  <mergeCells count="9">
    <mergeCell ref="B2:H2"/>
    <mergeCell ref="C4:H4"/>
    <mergeCell ref="C5:H5"/>
    <mergeCell ref="C6:H6"/>
    <mergeCell ref="C7:H7"/>
    <mergeCell ref="C8:H8"/>
    <mergeCell ref="C9:H9"/>
    <mergeCell ref="C10:H10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2026-08-25T11:58:43Z</dcterms:created>
  <dc:creator>openpyxl</dc:creator>
  <dc:description/>
  <dc:language>en-US</dc:language>
  <cp:lastModifiedBy>처음처럼 늘</cp:lastModifiedBy>
  <dcterms:modified xsi:type="dcterms:W3CDTF">2026-10-18T09:09:01Z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